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58152665_nebraska_edu/Documents/CIVE 202- Analysis Python/P5/"/>
    </mc:Choice>
  </mc:AlternateContent>
  <xr:revisionPtr revIDLastSave="71" documentId="8_{AE6B52F4-5C93-4517-B6B8-11A30C6DB2B6}" xr6:coauthVersionLast="47" xr6:coauthVersionMax="47" xr10:uidLastSave="{4301B435-E640-4BDB-ACA7-418195CD3399}"/>
  <bookViews>
    <workbookView xWindow="-120" yWindow="-120" windowWidth="22800" windowHeight="15280" xr2:uid="{A589E376-AE10-459B-97F2-1512B77EAF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5" i="1"/>
  <c r="G3" i="1"/>
  <c r="G4" i="1"/>
  <c r="G9" i="1"/>
  <c r="G6" i="1"/>
  <c r="G14" i="1"/>
  <c r="G12" i="1"/>
  <c r="G15" i="1"/>
  <c r="G11" i="1"/>
  <c r="G13" i="1"/>
  <c r="G8" i="1"/>
  <c r="G16" i="1"/>
  <c r="G17" i="1"/>
  <c r="G18" i="1"/>
  <c r="G19" i="1"/>
  <c r="G20" i="1"/>
  <c r="G21" i="1"/>
  <c r="G10" i="1"/>
  <c r="D22" i="1"/>
  <c r="G22" i="1" l="1"/>
</calcChain>
</file>

<file path=xl/sharedStrings.xml><?xml version="1.0" encoding="utf-8"?>
<sst xmlns="http://schemas.openxmlformats.org/spreadsheetml/2006/main" count="37" uniqueCount="26">
  <si>
    <t>ENGINEERING TIME SHEET</t>
  </si>
  <si>
    <t>CIVE 202 Project #5</t>
  </si>
  <si>
    <t>Day of Week</t>
  </si>
  <si>
    <t>Date</t>
  </si>
  <si>
    <t>Person</t>
  </si>
  <si>
    <t>Hours Worked</t>
  </si>
  <si>
    <t>Tasks Completed</t>
  </si>
  <si>
    <t>Hourly Rate</t>
  </si>
  <si>
    <t>Total Compensation</t>
  </si>
  <si>
    <t>Jamie</t>
  </si>
  <si>
    <t>SOW draft</t>
  </si>
  <si>
    <t>Ava</t>
  </si>
  <si>
    <t>SOW review</t>
  </si>
  <si>
    <t>gantt chart</t>
  </si>
  <si>
    <t>reproducible methods</t>
  </si>
  <si>
    <t xml:space="preserve">Tessa </t>
  </si>
  <si>
    <t>preliminary results</t>
  </si>
  <si>
    <t>Tessa</t>
  </si>
  <si>
    <t>cleaning JMP data</t>
  </si>
  <si>
    <t>Flow Diagram</t>
  </si>
  <si>
    <t>GitHub organize + upload</t>
  </si>
  <si>
    <t>Final Report</t>
  </si>
  <si>
    <t>Total Hours</t>
  </si>
  <si>
    <t>Final Report Anaylsis</t>
  </si>
  <si>
    <t>data representation</t>
  </si>
  <si>
    <t>data compilation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</si>
</sst>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/>
      <top/>
      <bottom/>
      <diagonal/>
    </border>
    <border>
      <left/>
      <right style="double">
        <color rgb="FF3F3F3F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3" borderId="2" applyNumberFormat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3" fillId="3" borderId="2" xfId="2" applyNumberFormat="1" applyAlignment="1">
      <alignment wrapText="1"/>
    </xf>
    <xf numFmtId="0" fontId="1" fillId="2" borderId="3" xfId="1" applyBorder="1" applyAlignment="1">
      <alignment wrapText="1"/>
    </xf>
    <xf numFmtId="0" fontId="1" fillId="2" borderId="4" xfId="1" applyBorder="1" applyAlignment="1">
      <alignment horizontal="center"/>
    </xf>
    <xf numFmtId="164" fontId="1" fillId="2" borderId="5" xfId="1" applyNumberFormat="1" applyBorder="1" applyAlignment="1">
      <alignment wrapText="1"/>
    </xf>
    <xf numFmtId="164" fontId="3" fillId="3" borderId="7" xfId="2" applyNumberFormat="1" applyBorder="1" applyAlignment="1">
      <alignment wrapText="1"/>
    </xf>
    <xf numFmtId="0" fontId="1" fillId="2" borderId="8" xfId="1" applyBorder="1" applyAlignment="1">
      <alignment wrapText="1"/>
    </xf>
    <xf numFmtId="0" fontId="1" fillId="2" borderId="8" xfId="1" applyBorder="1"/>
    <xf numFmtId="0" fontId="1" fillId="2" borderId="9" xfId="1" applyBorder="1" applyAlignment="1">
      <alignment horizontal="center"/>
    </xf>
    <xf numFmtId="0" fontId="1" fillId="2" borderId="0" xfId="1" applyBorder="1" applyAlignment="1">
      <alignment horizontal="center"/>
    </xf>
    <xf numFmtId="0" fontId="1" fillId="2" borderId="10" xfId="1" applyBorder="1" applyAlignment="1">
      <alignment horizontal="center"/>
    </xf>
    <xf numFmtId="2" fontId="1" fillId="2" borderId="8" xfId="1" applyNumberFormat="1" applyBorder="1"/>
    <xf numFmtId="0" fontId="0" fillId="0" borderId="6" xfId="0" applyBorder="1"/>
    <xf numFmtId="14" fontId="0" fillId="0" borderId="6" xfId="0" applyNumberFormat="1" applyBorder="1"/>
    <xf numFmtId="2" fontId="0" fillId="0" borderId="6" xfId="0" applyNumberFormat="1" applyBorder="1"/>
    <xf numFmtId="0" fontId="0" fillId="0" borderId="6" xfId="0" applyBorder="1" applyAlignment="1">
      <alignment wrapText="1"/>
    </xf>
  </cellXfs>
  <cellStyles count="3">
    <cellStyle name="Check Cell" xfId="1" builtinId="23"/>
    <cellStyle name="Normal" xfId="0" builtinId="0"/>
    <cellStyle name="Output" xfId="2" builtinId="21"/>
  </cellStyles>
  <dxfs count="8">
    <dxf>
      <numFmt numFmtId="164" formatCode="&quot;$&quot;#,##0.00"/>
      <alignment horizontal="general" vertical="bottom" textRotation="0" wrapText="1" indent="0" justifyLastLine="0" shrinkToFit="0" readingOrder="0"/>
    </dxf>
    <dxf>
      <numFmt numFmtId="164" formatCode="&quot;$&quot;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19" formatCode="m/d/yyyy"/>
    </dxf>
    <dxf>
      <border outline="0">
        <top style="double">
          <color rgb="FF3F3F3F"/>
        </top>
        <bottom style="double">
          <color rgb="FF3F3F3F"/>
        </bottom>
      </border>
    </dxf>
    <dxf>
      <border outline="0">
        <bottom style="double">
          <color rgb="FF3F3F3F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EBE2ED-83D1-4571-9053-655E564CC2F0}" name="Table1" displayName="Table1" ref="A2:G22" totalsRowShown="0" headerRowDxfId="7" headerRowBorderDxfId="6" tableBorderDxfId="5" headerRowCellStyle="Check Cell">
  <autoFilter ref="A2:G22" xr:uid="{44EBE2ED-83D1-4571-9053-655E564CC2F0}"/>
  <sortState xmlns:xlrd2="http://schemas.microsoft.com/office/spreadsheetml/2017/richdata2" ref="A3:G22">
    <sortCondition ref="B2:B22"/>
  </sortState>
  <tableColumns count="7">
    <tableColumn id="1" xr3:uid="{FB722DA5-1621-49EB-A6EC-26D4F6EFAE0A}" name="Day of Week"/>
    <tableColumn id="2" xr3:uid="{C6281EBC-50E7-461C-A09B-E6C75D3C7CA9}" name="Date" dataDxfId="4"/>
    <tableColumn id="3" xr3:uid="{6A7C4973-6163-4303-B198-2D05ABB8D8A7}" name="Person"/>
    <tableColumn id="4" xr3:uid="{2BE842B0-35DF-443B-95A9-72F5770918C1}" name="Hours Worked" dataDxfId="3"/>
    <tableColumn id="5" xr3:uid="{D55FD110-B022-43CE-98CC-53B77911756B}" name="Tasks Completed" dataDxfId="2"/>
    <tableColumn id="6" xr3:uid="{9092FFC7-E0E1-45BA-AA1F-E776F854E193}" name="Hourly Rate" dataDxfId="1" dataCellStyle="Output"/>
    <tableColumn id="7" xr3:uid="{92F450B5-175D-4FDD-BCFA-FBF569486D25}" name="Total Compensation" dataDxfId="0" dataCellStyle="Outpu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7735-DE21-4933-9A52-FC1443CB5E25}">
  <dimension ref="A1:G22"/>
  <sheetViews>
    <sheetView tabSelected="1" zoomScale="115" workbookViewId="0">
      <selection activeCell="B2" sqref="B2"/>
    </sheetView>
  </sheetViews>
  <sheetFormatPr defaultRowHeight="14.5" x14ac:dyDescent="0.35"/>
  <cols>
    <col min="1" max="1" width="12.54296875" customWidth="1"/>
    <col min="2" max="2" width="10.54296875" customWidth="1"/>
    <col min="3" max="3" width="8.7265625" customWidth="1"/>
    <col min="4" max="4" width="14" customWidth="1"/>
    <col min="5" max="5" width="24.7265625" customWidth="1"/>
    <col min="6" max="6" width="11.81640625" customWidth="1"/>
    <col min="7" max="7" width="18.81640625" style="1" customWidth="1"/>
  </cols>
  <sheetData>
    <row r="1" spans="1:7" s="3" customFormat="1" ht="21.65" customHeight="1" x14ac:dyDescent="0.35">
      <c r="A1" s="2" t="s">
        <v>0</v>
      </c>
      <c r="D1" s="2" t="s">
        <v>1</v>
      </c>
      <c r="G1" s="4"/>
    </row>
    <row r="2" spans="1:7" ht="37.15" customHeight="1" thickBot="1" x14ac:dyDescent="0.4">
      <c r="A2" s="10" t="s">
        <v>2</v>
      </c>
      <c r="B2" s="11" t="s">
        <v>3</v>
      </c>
      <c r="C2" s="11" t="s">
        <v>4</v>
      </c>
      <c r="D2" s="10" t="s">
        <v>5</v>
      </c>
      <c r="E2" s="10" t="s">
        <v>6</v>
      </c>
      <c r="F2" s="6" t="s">
        <v>7</v>
      </c>
      <c r="G2" s="6" t="s">
        <v>8</v>
      </c>
    </row>
    <row r="3" spans="1:7" ht="15" thickTop="1" x14ac:dyDescent="0.35">
      <c r="A3" s="16"/>
      <c r="B3" s="17">
        <v>46079</v>
      </c>
      <c r="C3" s="16" t="s">
        <v>9</v>
      </c>
      <c r="D3" s="18">
        <v>1.5</v>
      </c>
      <c r="E3" s="19" t="s">
        <v>10</v>
      </c>
      <c r="F3" s="9">
        <v>25</v>
      </c>
      <c r="G3" s="5">
        <f>D3*F3</f>
        <v>37.5</v>
      </c>
    </row>
    <row r="4" spans="1:7" x14ac:dyDescent="0.35">
      <c r="A4" s="16"/>
      <c r="B4" s="17">
        <v>46080</v>
      </c>
      <c r="C4" s="16" t="s">
        <v>11</v>
      </c>
      <c r="D4" s="18">
        <v>0.5</v>
      </c>
      <c r="E4" s="19" t="s">
        <v>12</v>
      </c>
      <c r="F4" s="9">
        <v>25</v>
      </c>
      <c r="G4" s="5">
        <f>D4*F4</f>
        <v>12.5</v>
      </c>
    </row>
    <row r="5" spans="1:7" x14ac:dyDescent="0.35">
      <c r="A5" s="16"/>
      <c r="B5" s="17">
        <v>46085</v>
      </c>
      <c r="C5" s="16" t="s">
        <v>9</v>
      </c>
      <c r="D5" s="18">
        <v>0.5</v>
      </c>
      <c r="E5" s="19" t="s">
        <v>13</v>
      </c>
      <c r="F5" s="9">
        <v>25</v>
      </c>
      <c r="G5" s="5">
        <f>D5*F5</f>
        <v>12.5</v>
      </c>
    </row>
    <row r="6" spans="1:7" x14ac:dyDescent="0.35">
      <c r="A6" s="16"/>
      <c r="B6" s="17">
        <v>46106</v>
      </c>
      <c r="C6" s="16" t="s">
        <v>9</v>
      </c>
      <c r="D6" s="18">
        <v>1</v>
      </c>
      <c r="E6" s="19" t="s">
        <v>14</v>
      </c>
      <c r="F6" s="9">
        <v>25</v>
      </c>
      <c r="G6" s="5">
        <f>D6*F6</f>
        <v>25</v>
      </c>
    </row>
    <row r="7" spans="1:7" x14ac:dyDescent="0.35">
      <c r="A7" s="16"/>
      <c r="B7" s="17">
        <v>46107</v>
      </c>
      <c r="C7" s="16" t="s">
        <v>11</v>
      </c>
      <c r="D7" s="18">
        <v>1</v>
      </c>
      <c r="E7" s="19" t="s">
        <v>14</v>
      </c>
      <c r="F7" s="9">
        <v>25</v>
      </c>
      <c r="G7" s="5">
        <f>D7*F7</f>
        <v>25</v>
      </c>
    </row>
    <row r="8" spans="1:7" x14ac:dyDescent="0.35">
      <c r="A8" s="16"/>
      <c r="B8" s="17">
        <v>46111</v>
      </c>
      <c r="C8" s="16" t="s">
        <v>9</v>
      </c>
      <c r="D8" s="18">
        <v>1</v>
      </c>
      <c r="E8" s="19" t="s">
        <v>25</v>
      </c>
      <c r="F8" s="9">
        <v>25</v>
      </c>
      <c r="G8" s="5">
        <f>D8*F8</f>
        <v>25</v>
      </c>
    </row>
    <row r="9" spans="1:7" x14ac:dyDescent="0.35">
      <c r="A9" s="16"/>
      <c r="B9" s="17">
        <v>46121</v>
      </c>
      <c r="C9" s="16" t="s">
        <v>15</v>
      </c>
      <c r="D9" s="18">
        <v>1</v>
      </c>
      <c r="E9" s="19" t="s">
        <v>16</v>
      </c>
      <c r="F9" s="9">
        <v>25</v>
      </c>
      <c r="G9" s="5">
        <f>D9*F9</f>
        <v>25</v>
      </c>
    </row>
    <row r="10" spans="1:7" x14ac:dyDescent="0.35">
      <c r="A10" s="16"/>
      <c r="B10" s="17">
        <v>46122</v>
      </c>
      <c r="C10" s="16" t="s">
        <v>17</v>
      </c>
      <c r="D10" s="18">
        <v>2</v>
      </c>
      <c r="E10" s="19" t="s">
        <v>18</v>
      </c>
      <c r="F10" s="9">
        <v>25</v>
      </c>
      <c r="G10" s="5">
        <f>D10*F10</f>
        <v>50</v>
      </c>
    </row>
    <row r="11" spans="1:7" x14ac:dyDescent="0.35">
      <c r="A11" s="16"/>
      <c r="B11" s="17">
        <v>46127</v>
      </c>
      <c r="C11" s="16" t="s">
        <v>11</v>
      </c>
      <c r="D11" s="18">
        <v>1.5</v>
      </c>
      <c r="E11" s="19" t="s">
        <v>24</v>
      </c>
      <c r="F11" s="9">
        <v>25</v>
      </c>
      <c r="G11" s="5">
        <f>D11*F11</f>
        <v>37.5</v>
      </c>
    </row>
    <row r="12" spans="1:7" x14ac:dyDescent="0.35">
      <c r="A12" s="16"/>
      <c r="B12" s="17">
        <v>46140</v>
      </c>
      <c r="C12" s="16" t="s">
        <v>15</v>
      </c>
      <c r="D12" s="18">
        <v>1</v>
      </c>
      <c r="E12" s="19" t="s">
        <v>20</v>
      </c>
      <c r="F12" s="9">
        <v>25</v>
      </c>
      <c r="G12" s="5">
        <f>D12*F12</f>
        <v>25</v>
      </c>
    </row>
    <row r="13" spans="1:7" x14ac:dyDescent="0.35">
      <c r="A13" s="16"/>
      <c r="B13" s="17">
        <v>46145</v>
      </c>
      <c r="C13" s="16" t="s">
        <v>9</v>
      </c>
      <c r="D13" s="18">
        <v>0.75</v>
      </c>
      <c r="E13" s="19" t="s">
        <v>23</v>
      </c>
      <c r="F13" s="9">
        <v>25</v>
      </c>
      <c r="G13" s="5">
        <f>D13*F13</f>
        <v>18.75</v>
      </c>
    </row>
    <row r="14" spans="1:7" x14ac:dyDescent="0.35">
      <c r="A14" s="16"/>
      <c r="B14" s="17">
        <v>46147</v>
      </c>
      <c r="C14" s="16" t="s">
        <v>15</v>
      </c>
      <c r="D14" s="18">
        <v>1</v>
      </c>
      <c r="E14" s="19" t="s">
        <v>19</v>
      </c>
      <c r="F14" s="9">
        <v>25</v>
      </c>
      <c r="G14" s="5">
        <f>D14*F14</f>
        <v>25</v>
      </c>
    </row>
    <row r="15" spans="1:7" x14ac:dyDescent="0.35">
      <c r="A15" s="16"/>
      <c r="B15" s="17">
        <v>46149</v>
      </c>
      <c r="C15" s="16" t="s">
        <v>9</v>
      </c>
      <c r="D15" s="18">
        <v>1</v>
      </c>
      <c r="E15" s="19" t="s">
        <v>21</v>
      </c>
      <c r="F15" s="9">
        <v>25</v>
      </c>
      <c r="G15" s="5">
        <f>D15*F15</f>
        <v>25</v>
      </c>
    </row>
    <row r="16" spans="1:7" x14ac:dyDescent="0.35">
      <c r="A16" s="16"/>
      <c r="B16" s="17"/>
      <c r="C16" s="16"/>
      <c r="D16" s="18"/>
      <c r="E16" s="19"/>
      <c r="F16" s="9">
        <v>25</v>
      </c>
      <c r="G16" s="5">
        <f>D16*F16</f>
        <v>0</v>
      </c>
    </row>
    <row r="17" spans="1:7" x14ac:dyDescent="0.35">
      <c r="A17" s="16"/>
      <c r="B17" s="17"/>
      <c r="C17" s="16"/>
      <c r="D17" s="18"/>
      <c r="E17" s="19"/>
      <c r="F17" s="9">
        <v>25</v>
      </c>
      <c r="G17" s="5">
        <f>D17*F17</f>
        <v>0</v>
      </c>
    </row>
    <row r="18" spans="1:7" x14ac:dyDescent="0.35">
      <c r="A18" s="16"/>
      <c r="B18" s="17"/>
      <c r="C18" s="16"/>
      <c r="D18" s="18"/>
      <c r="E18" s="19"/>
      <c r="F18" s="9">
        <v>25</v>
      </c>
      <c r="G18" s="5">
        <f>D18*F18</f>
        <v>0</v>
      </c>
    </row>
    <row r="19" spans="1:7" x14ac:dyDescent="0.35">
      <c r="A19" s="16"/>
      <c r="B19" s="17"/>
      <c r="C19" s="16"/>
      <c r="D19" s="18"/>
      <c r="E19" s="19"/>
      <c r="F19" s="9">
        <v>25</v>
      </c>
      <c r="G19" s="5">
        <f>D19*F19</f>
        <v>0</v>
      </c>
    </row>
    <row r="20" spans="1:7" x14ac:dyDescent="0.35">
      <c r="A20" s="16"/>
      <c r="B20" s="17"/>
      <c r="C20" s="16"/>
      <c r="D20" s="18"/>
      <c r="E20" s="19"/>
      <c r="F20" s="9">
        <v>25</v>
      </c>
      <c r="G20" s="5">
        <f>D20*F20</f>
        <v>0</v>
      </c>
    </row>
    <row r="21" spans="1:7" ht="15" thickBot="1" x14ac:dyDescent="0.4">
      <c r="A21" s="16"/>
      <c r="B21" s="17"/>
      <c r="C21" s="16"/>
      <c r="D21" s="18"/>
      <c r="E21" s="19"/>
      <c r="F21" s="9">
        <v>25</v>
      </c>
      <c r="G21" s="5">
        <f>D21*F21</f>
        <v>0</v>
      </c>
    </row>
    <row r="22" spans="1:7" ht="15" thickTop="1" x14ac:dyDescent="0.35">
      <c r="A22" s="12" t="s">
        <v>22</v>
      </c>
      <c r="B22" s="13"/>
      <c r="C22" s="14"/>
      <c r="D22" s="15">
        <f>SUM(D3:D21)</f>
        <v>13.75</v>
      </c>
      <c r="E22" s="12" t="s">
        <v>8</v>
      </c>
      <c r="F22" s="7"/>
      <c r="G22" s="8">
        <f>SUM(G3:G21)</f>
        <v>343.75</v>
      </c>
    </row>
  </sheetData>
  <sortState xmlns:xlrd2="http://schemas.microsoft.com/office/spreadsheetml/2017/richdata2" ref="A3:G21">
    <sortCondition ref="B3:B2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Tessa Soukup</dc:creator>
  <cp:keywords/>
  <dc:description/>
  <cp:lastModifiedBy>Tessa Soukup</cp:lastModifiedBy>
  <cp:revision/>
  <dcterms:created xsi:type="dcterms:W3CDTF">2026-03-11T16:44:31Z</dcterms:created>
  <dcterms:modified xsi:type="dcterms:W3CDTF">2026-05-08T20:21:00Z</dcterms:modified>
  <cp:category/>
  <cp:contentStatus/>
</cp:coreProperties>
</file>